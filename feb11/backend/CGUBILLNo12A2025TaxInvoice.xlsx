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M " sheetId="1" r:id="rId4"/>
  </sheets>
  <definedNames/>
  <calcPr/>
</workbook>
</file>

<file path=xl/sharedStrings.xml><?xml version="1.0" encoding="utf-8"?>
<sst xmlns="http://schemas.openxmlformats.org/spreadsheetml/2006/main" count="32" uniqueCount="30">
  <si>
    <t>06.10.2025</t>
  </si>
  <si>
    <t>TAX INVOICE</t>
  </si>
  <si>
    <r>
      <rPr>
        <rFont val="Trebuchet MS"/>
        <sz val="8.0"/>
      </rPr>
      <t>Reverse Charge    :  YES
Invoice No.           :  12/A</t>
    </r>
    <r>
      <rPr>
        <rFont val="Times New Roman"/>
        <sz val="8.0"/>
      </rPr>
      <t xml:space="preserve">                                                                                                                                                     </t>
    </r>
    <r>
      <rPr>
        <rFont val="Trebuchet MS"/>
        <sz val="8.0"/>
      </rPr>
      <t xml:space="preserve">Invoice Date         :  06.10.2025                                                                                          Transport Code    : 4100900450                                                                                                                                                  </t>
    </r>
  </si>
  <si>
    <r>
      <rPr>
        <rFont val="Trebuchet MS"/>
        <sz val="8.0"/>
      </rPr>
      <t>Supply Mode             :</t>
    </r>
    <r>
      <rPr>
        <rFont val="Times New Roman"/>
        <sz val="8.0"/>
      </rPr>
      <t xml:space="preserve"> </t>
    </r>
    <r>
      <rPr>
        <rFont val="Trebuchet MS"/>
        <sz val="8.0"/>
      </rPr>
      <t>Goods Transport Agency Service
Period of Supply       : 16.09.2025 To 30.09.2025
Place of Supply         : Tamil Nadu</t>
    </r>
    <r>
      <rPr>
        <rFont val="Trebuchet MS"/>
        <b/>
        <sz val="8.0"/>
      </rPr>
      <t xml:space="preserve">                                                                                                                                                                                                                                                                               GSTIN No.                : 33ARMPS3396J2Z4                                                                                                                          PAN No                    : ARMPS3396J</t>
    </r>
  </si>
  <si>
    <t>State                   :   Tamil Nadu</t>
  </si>
  <si>
    <r>
      <rPr>
        <rFont val="Trebuchet MS"/>
        <sz val="8.0"/>
      </rPr>
      <t>State Code :</t>
    </r>
  </si>
  <si>
    <t>3 3</t>
  </si>
  <si>
    <t>Name                  :  ZUARI CEMENT LTD,
Address              :  Chennai Grinding Unit, Athipattu, Chennai - 120.
GSTIN                :  33AAACZ1270E1ZQ                                                                                                                                                             PAN No.             :   AAACZ1270E</t>
  </si>
  <si>
    <t>Code</t>
  </si>
  <si>
    <r>
      <rPr>
        <rFont val="Trebuchet MS"/>
        <b/>
        <color/>
        <sz val="7.0"/>
      </rPr>
      <t xml:space="preserve">Sr.
</t>
    </r>
    <r>
      <rPr>
        <rFont val="Trebuchet MS"/>
        <b/>
        <color/>
        <sz val="7.0"/>
      </rPr>
      <t>No.</t>
    </r>
  </si>
  <si>
    <r>
      <rPr>
        <rFont val="Trebuchet MS"/>
        <b/>
        <sz val="7.0"/>
      </rPr>
      <t>Name of Product / Service</t>
    </r>
  </si>
  <si>
    <r>
      <rPr>
        <rFont val="Trebuchet MS"/>
        <b/>
        <sz val="7.0"/>
      </rPr>
      <t>HSN</t>
    </r>
    <r>
      <rPr>
        <rFont val="Times New Roman"/>
        <b/>
        <sz val="7.0"/>
      </rPr>
      <t xml:space="preserve"> SAC</t>
    </r>
  </si>
  <si>
    <r>
      <rPr>
        <rFont val="Trebuchet MS"/>
        <b/>
        <sz val="7.0"/>
      </rPr>
      <t>UOM</t>
    </r>
  </si>
  <si>
    <t>Qty</t>
  </si>
  <si>
    <r>
      <rPr>
        <rFont val="Trebuchet MS"/>
        <b/>
        <sz val="7.0"/>
      </rPr>
      <t>Rate</t>
    </r>
  </si>
  <si>
    <t>Taxable Value</t>
  </si>
  <si>
    <r>
      <rPr>
        <rFont val="Trebuchet MS"/>
        <b/>
        <sz val="8.0"/>
      </rPr>
      <t>Total</t>
    </r>
  </si>
  <si>
    <t>GTA Service for Transportation of Gypsum</t>
  </si>
  <si>
    <t>MT</t>
  </si>
  <si>
    <t>Total :</t>
  </si>
  <si>
    <r>
      <rPr>
        <rFont val="Trebuchet MS"/>
        <b/>
        <sz val="8.0"/>
      </rPr>
      <t xml:space="preserve">Total Invoice Amount in Words:
</t>
    </r>
    <r>
      <rPr>
        <rFont val="Trebuchet MS"/>
        <b/>
        <sz val="10.0"/>
      </rPr>
      <t>Rs.One Lakh Forty Seven Thousand Seven Hundred and Thirty Nine Only.</t>
    </r>
  </si>
  <si>
    <t>Taxable Value Under RCM for Service receiver</t>
  </si>
  <si>
    <t>CGST@2.5%:</t>
  </si>
  <si>
    <t>SGST@2.5%:</t>
  </si>
  <si>
    <t>IGST@5%:</t>
  </si>
  <si>
    <r>
      <rPr>
        <rFont val="Trebuchet MS"/>
        <b/>
        <sz val="10.0"/>
      </rPr>
      <t xml:space="preserve">  Bank Details :
.</t>
    </r>
    <r>
      <rPr>
        <rFont val="Trebuchet MS"/>
        <sz val="10.0"/>
      </rPr>
      <t xml:space="preserve">Bank Account Number     : </t>
    </r>
    <r>
      <rPr>
        <rFont val="Trebuchet MS"/>
        <b/>
        <sz val="10.0"/>
      </rPr>
      <t>11327915122</t>
    </r>
    <r>
      <rPr>
        <rFont val="Trebuchet MS"/>
        <sz val="10.0"/>
      </rPr>
      <t xml:space="preserve">
.Bank Name                    : </t>
    </r>
    <r>
      <rPr>
        <rFont val="Trebuchet MS"/>
        <b/>
        <sz val="10.0"/>
      </rPr>
      <t xml:space="preserve">STATE BANK OF INDIA </t>
    </r>
    <r>
      <rPr>
        <rFont val="Trebuchet MS"/>
        <sz val="10.0"/>
      </rPr>
      <t xml:space="preserve">                                                  .Bank IFSC                      :</t>
    </r>
    <r>
      <rPr>
        <rFont val="Trebuchet MS"/>
        <b/>
        <sz val="10.0"/>
      </rPr>
      <t xml:space="preserve"> SBIN0002814</t>
    </r>
    <r>
      <rPr>
        <rFont val="Trebuchet MS"/>
        <sz val="10.0"/>
      </rPr>
      <t xml:space="preserve">                                           .Branch                           : </t>
    </r>
    <r>
      <rPr>
        <rFont val="Trebuchet MS"/>
        <b/>
        <sz val="10.0"/>
      </rPr>
      <t xml:space="preserve">YERRAGUNTLA </t>
    </r>
    <r>
      <rPr>
        <rFont val="Trebuchet MS"/>
        <sz val="10.0"/>
      </rPr>
      <t xml:space="preserve">                                   </t>
    </r>
  </si>
  <si>
    <t xml:space="preserve">Total Invoice Amount including Tax under RCM             </t>
  </si>
  <si>
    <t>Amount due from Zuari Cement Ltd.,</t>
  </si>
  <si>
    <r>
      <rPr>
        <rFont val="Trebuchet MS"/>
        <b/>
        <sz val="7.0"/>
      </rPr>
      <t xml:space="preserve">Terms and Conditions :                                                                                                                                                                                                                                                                                                                                           </t>
    </r>
    <r>
      <rPr>
        <rFont val="Trebuchet MS"/>
        <b/>
        <sz val="7.0"/>
      </rPr>
      <t>1.As per Notification NO 5/2017 DATED:19/6/2017 GST is payable under Reverse charge by the Recipient of service.                                                                                                                                                                                                                                                                               2.As per Notification No 11/2017-Central Tax (Rate) credit of input tax charged on goods and services used in supplying the service has not been taken.                                                                                                                                                                                                                      3.As per Notification No 08/2017-Integrated Tax (Rate) credit of input tax charged on goods and services used in supplying the service has not been taken.                                                                                                                                                                                                              4. This Invoice details will be uploaded in our GST Retruns as applicable.</t>
    </r>
  </si>
  <si>
    <r>
      <rPr>
        <rFont val="Trebuchet MS"/>
        <b/>
        <sz val="9.0"/>
      </rPr>
      <t xml:space="preserve">
                                                                                                                                                                                                                                                                                                                                                                     A</t>
    </r>
    <r>
      <rPr>
        <rFont val="Trebuchet MS"/>
        <b/>
        <sz val="8.0"/>
      </rPr>
      <t xml:space="preserve">uthorised Signatory With Seal                                                                                                                                   </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</si>
</sst>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0"/>
    <numFmt numFmtId="166" formatCode="#,##0.00;#,##0.00"/>
    <numFmt numFmtId="167" formatCode="#,##0;#,##0"/>
    <numFmt numFmtId="168" formatCode="_ * #,##0.00_ ;_ * \-#,##0.00_ ;_ * &quot;-&quot;??_ ;_ @_ "/>
  </numFmts>
  <fonts count="25">
    <font>
      <sz val="11.0"/>
      <color/>
      <name val="Arial"/>
      <scheme val="minor"/>
    </font>
    <font>
      <b/>
      <sz val="16.0"/>
      <name val="Arial"/>
    </font>
    <font/>
    <font>
      <b/>
      <sz val="11.0"/>
      <name val="Arial"/>
    </font>
    <font>
      <b/>
      <sz val="12.0"/>
      <name val="Arial"/>
    </font>
    <font>
      <sz val="8.0"/>
      <name val="Calibri"/>
    </font>
    <font>
      <b/>
      <sz val="8.0"/>
      <name val="Trebuchet MS"/>
    </font>
    <font>
      <sz val="8.0"/>
      <name val="Trebuchet MS"/>
    </font>
    <font>
      <sz val="11.0"/>
      <color/>
      <name val="Calibri"/>
    </font>
    <font>
      <sz val="10.0"/>
      <name val="Arial"/>
    </font>
    <font>
      <b/>
      <sz val="7.0"/>
      <name val="Trebuchet MS"/>
    </font>
    <font>
      <b/>
      <sz val="7.0"/>
      <name val="Calibri"/>
    </font>
    <font>
      <sz val="9.0"/>
      <color/>
      <name val="Calibri"/>
    </font>
    <font>
      <sz val="9.0"/>
      <name val="Trebuchet MS"/>
    </font>
    <font>
      <sz val="9.0"/>
      <color rgb="FF000000"/>
      <name val="Trebuchet MS"/>
    </font>
    <font>
      <sz val="12.0"/>
      <color rgb="FF000000"/>
      <name val="Trebuchet MS"/>
    </font>
    <font>
      <b/>
      <sz val="9.0"/>
      <name val="Trebuchet MS"/>
    </font>
    <font>
      <b/>
      <sz val="9.0"/>
      <color rgb="FF000000"/>
      <name val="Trebuchet MS"/>
    </font>
    <font>
      <b/>
      <sz val="11.0"/>
      <name val="Trebuchet MS"/>
    </font>
    <font>
      <b/>
      <sz val="10.0"/>
      <color rgb="FF000000"/>
      <name val="Trebuchet MS"/>
    </font>
    <font>
      <u/>
      <sz val="11.0"/>
      <color/>
      <name val="Calibri"/>
    </font>
    <font>
      <sz val="10.0"/>
      <color rgb="FF000000"/>
      <name val="Trebuchet MS"/>
    </font>
    <font>
      <b/>
      <sz val="10.0"/>
      <name val="Trebuchet MS"/>
    </font>
    <font>
      <sz val="10.0"/>
      <name val="Trebuchet MS"/>
    </font>
    <font>
      <sz val="11.0"/>
      <name val="Trebuchet MS"/>
    </font>
  </fonts>
  <fills count="3">
    <fill>
      <patternFill patternType="none"/>
    </fill>
    <fill>
      <patternFill patternType="lightGray"/>
    </fill>
    <fill>
      <patternFill patternType="solid">
        <fgColor rgb="FFDDDDDD"/>
        <bgColor rgb="FFDDDDDD"/>
      </patternFill>
    </fill>
  </fills>
  <borders count="52">
    <border/>
    <border>
      <left style="medium">
        <color rgb="FF000000"/>
      </left>
    </border>
    <border>
      <right style="medium">
        <color rgb="FF000000"/>
      </right>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medium">
        <color rgb="FF000000"/>
      </right>
      <top style="thin">
        <color rgb="FF000000"/>
      </top>
    </border>
    <border>
      <left style="medium">
        <color rgb="FF000000"/>
      </left>
      <bottom style="thin">
        <color rgb="FF545454"/>
      </bottom>
    </border>
    <border>
      <bottom style="thin">
        <color rgb="FF545454"/>
      </bottom>
    </border>
    <border>
      <right style="thin">
        <color rgb="FF545454"/>
      </right>
      <bottom style="thin">
        <color rgb="FF545454"/>
      </bottom>
    </border>
    <border>
      <left style="thin">
        <color rgb="FF545454"/>
      </left>
      <bottom style="thin">
        <color rgb="FF545454"/>
      </bottom>
    </border>
    <border>
      <left style="thin">
        <color rgb="FF545454"/>
      </left>
      <right style="thin">
        <color rgb="FF545454"/>
      </right>
      <bottom style="thin">
        <color rgb="FF545454"/>
      </bottom>
    </border>
    <border>
      <right style="medium">
        <color rgb="FF000000"/>
      </right>
      <bottom style="thin">
        <color rgb="FF545454"/>
      </bottom>
    </border>
    <border>
      <left style="medium">
        <color rgb="FF000000"/>
      </left>
      <top style="thin">
        <color rgb="FF545454"/>
      </top>
      <bottom style="thin">
        <color rgb="FF000000"/>
      </bottom>
    </border>
    <border>
      <top style="thin">
        <color rgb="FF545454"/>
      </top>
      <bottom style="thin">
        <color rgb="FF000000"/>
      </bottom>
    </border>
    <border>
      <right style="medium">
        <color rgb="FF000000"/>
      </right>
      <top style="thin">
        <color rgb="FF545454"/>
      </top>
      <bottom style="thin">
        <color rgb="FF000000"/>
      </bottom>
    </border>
    <border>
      <left style="medium">
        <color rgb="FF000000"/>
      </left>
      <bottom style="thin">
        <color rgb="FF000000"/>
      </bottom>
    </border>
    <border>
      <right style="thin">
        <color rgb="FF000000"/>
      </right>
      <bottom style="thin">
        <color rgb="FF000000"/>
      </bottom>
    </border>
    <border>
      <left style="medium">
        <color rgb="FF000000"/>
      </left>
      <right style="thin">
        <color rgb="FF545454"/>
      </right>
      <top style="thin">
        <color rgb="FF545454"/>
      </top>
    </border>
    <border>
      <left style="thin">
        <color rgb="FF545454"/>
      </left>
      <right style="thin">
        <color rgb="FF545454"/>
      </right>
      <top style="thin">
        <color rgb="FF545454"/>
      </top>
    </border>
    <border>
      <left style="thin">
        <color rgb="FF545454"/>
      </left>
      <top style="thin">
        <color rgb="FF545454"/>
      </top>
    </border>
    <border>
      <right style="thin">
        <color rgb="FF545454"/>
      </right>
      <top style="thin">
        <color rgb="FF545454"/>
      </top>
    </border>
    <border>
      <top style="thin">
        <color rgb="FF545454"/>
      </top>
    </border>
    <border>
      <right style="medium">
        <color rgb="FF000000"/>
      </right>
      <top style="thin">
        <color rgb="FF545454"/>
      </top>
    </border>
    <border>
      <left style="medium">
        <color rgb="FF000000"/>
      </left>
      <right style="thin">
        <color rgb="FF545454"/>
      </right>
      <bottom style="thin">
        <color rgb="FF545454"/>
      </bottom>
    </border>
    <border>
      <left style="medium">
        <color rgb="FF000000"/>
      </left>
      <right style="thin">
        <color rgb="FF545454"/>
      </right>
      <top style="thin">
        <color rgb="FF545454"/>
      </top>
      <bottom style="thin">
        <color rgb="FF545454"/>
      </bottom>
    </border>
    <border>
      <left style="thin">
        <color rgb="FF545454"/>
      </left>
      <right style="thin">
        <color rgb="FF545454"/>
      </right>
      <top style="thin">
        <color rgb="FF545454"/>
      </top>
      <bottom style="thin">
        <color rgb="FF545454"/>
      </bottom>
    </border>
    <border>
      <left style="thin">
        <color rgb="FF545454"/>
      </left>
      <top style="thin">
        <color rgb="FF545454"/>
      </top>
      <bottom style="thin">
        <color rgb="FF545454"/>
      </bottom>
    </border>
    <border>
      <right style="thin">
        <color rgb="FF545454"/>
      </right>
      <top style="thin">
        <color rgb="FF545454"/>
      </top>
      <bottom style="thin">
        <color rgb="FF545454"/>
      </bottom>
    </border>
    <border>
      <top style="thin">
        <color rgb="FF545454"/>
      </top>
      <bottom style="thin">
        <color rgb="FF545454"/>
      </bottom>
    </border>
    <border>
      <right style="medium">
        <color rgb="FF000000"/>
      </right>
      <top style="thin">
        <color rgb="FF545454"/>
      </top>
      <bottom style="thin">
        <color rgb="FF545454"/>
      </bottom>
    </border>
    <border>
      <left style="medium">
        <color rgb="FF000000"/>
      </left>
      <top style="thin">
        <color rgb="FF545454"/>
      </top>
      <bottom style="thin">
        <color rgb="FF545454"/>
      </bottom>
    </border>
    <border>
      <left style="medium">
        <color rgb="FF000000"/>
      </left>
      <top style="thin">
        <color rgb="FF545454"/>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medium">
        <color rgb="FF000000"/>
      </right>
      <bottom style="thin">
        <color rgb="FF000000"/>
      </bottom>
    </border>
    <border>
      <right style="medium">
        <color rgb="FF000000"/>
      </right>
      <top style="thin">
        <color rgb="FF000000"/>
      </top>
      <bottom style="thin">
        <color rgb="FF000000"/>
      </bottom>
    </border>
    <border>
      <left/>
      <top/>
      <bottom/>
    </border>
    <border>
      <top/>
      <bottom/>
    </border>
    <border>
      <right/>
      <top/>
      <bottom/>
    </border>
    <border>
      <right style="medium">
        <color rgb="FF000000"/>
      </right>
      <top/>
      <bottom/>
    </border>
    <border>
      <right style="thin">
        <color rgb="FF000000"/>
      </right>
      <top style="thin">
        <color rgb="FF545454"/>
      </top>
    </border>
    <border>
      <right style="thin">
        <color rgb="FF000000"/>
      </right>
    </border>
    <border>
      <left style="thin">
        <color rgb="FF000000"/>
      </left>
      <top/>
    </border>
    <border>
      <top/>
    </border>
    <border>
      <right style="medium">
        <color rgb="FF000000"/>
      </right>
      <top/>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Border="1" applyFont="1"/>
    <xf borderId="3" fillId="0" fontId="3" numFmtId="0" xfId="0" applyAlignment="1" applyBorder="1" applyFont="1">
      <alignment horizontal="right" shrinkToFit="0" wrapText="1"/>
    </xf>
    <xf borderId="3" fillId="0" fontId="2" numFmtId="0" xfId="0" applyBorder="1" applyFont="1"/>
    <xf borderId="4" fillId="0" fontId="4" numFmtId="0" xfId="0" applyAlignment="1" applyBorder="1" applyFont="1">
      <alignment horizontal="center" vertical="top"/>
    </xf>
    <xf borderId="5" fillId="0" fontId="2" numFmtId="0" xfId="0" applyBorder="1" applyFont="1"/>
    <xf borderId="6" fillId="0" fontId="2" numFmtId="0" xfId="0" applyBorder="1" applyFont="1"/>
    <xf borderId="4"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7" fillId="0" fontId="2" numFmtId="0" xfId="0" applyBorder="1" applyFont="1"/>
    <xf borderId="8" fillId="0" fontId="2" numFmtId="0" xfId="0" applyBorder="1" applyFont="1"/>
    <xf borderId="9" fillId="0" fontId="6" numFmtId="0" xfId="0" applyAlignment="1" applyBorder="1" applyFont="1">
      <alignment horizontal="left" shrinkToFit="0" vertical="top" wrapText="1"/>
    </xf>
    <xf borderId="10" fillId="0" fontId="2" numFmtId="0" xfId="0" applyBorder="1" applyFont="1"/>
    <xf borderId="11" fillId="0" fontId="2" numFmtId="0" xfId="0" applyBorder="1" applyFont="1"/>
    <xf borderId="12" fillId="0" fontId="7" numFmtId="0" xfId="0" applyAlignment="1" applyBorder="1" applyFont="1">
      <alignment horizontal="left" shrinkToFit="0" vertical="top" wrapText="1"/>
    </xf>
    <xf borderId="13" fillId="0" fontId="8" numFmtId="0" xfId="0" applyAlignment="1" applyBorder="1" applyFont="1">
      <alignment horizontal="left" shrinkToFit="0" vertical="top" wrapText="1"/>
    </xf>
    <xf borderId="14" fillId="0" fontId="2" numFmtId="0" xfId="0" applyBorder="1" applyFont="1"/>
    <xf borderId="15" fillId="0" fontId="6" numFmtId="0" xfId="0" applyAlignment="1" applyBorder="1" applyFont="1">
      <alignment horizontal="left" shrinkToFit="0" vertical="top" wrapText="1"/>
    </xf>
    <xf borderId="16" fillId="0" fontId="2" numFmtId="0" xfId="0" applyBorder="1" applyFont="1"/>
    <xf borderId="17" fillId="0" fontId="2" numFmtId="0" xfId="0" applyBorder="1" applyFont="1"/>
    <xf borderId="4" fillId="0" fontId="9" numFmtId="0" xfId="0" applyAlignment="1" applyBorder="1" applyFont="1">
      <alignment horizontal="left" shrinkToFit="0" vertical="top" wrapText="1"/>
    </xf>
    <xf borderId="18" fillId="0" fontId="7" numFmtId="0" xfId="0" applyAlignment="1" applyBorder="1" applyFont="1">
      <alignment horizontal="left" shrinkToFit="0" vertical="top" wrapText="1"/>
    </xf>
    <xf borderId="19" fillId="0" fontId="2" numFmtId="0" xfId="0" applyBorder="1" applyFont="1"/>
    <xf borderId="10" fillId="0" fontId="7" numFmtId="0" xfId="0" applyAlignment="1" applyBorder="1" applyFont="1">
      <alignment horizontal="left" shrinkToFit="0" vertical="top" wrapText="1"/>
    </xf>
    <xf borderId="4" fillId="0" fontId="8" numFmtId="0" xfId="0" applyAlignment="1" applyBorder="1" applyFont="1">
      <alignment horizontal="center" shrinkToFit="0" vertical="top" wrapText="1"/>
    </xf>
    <xf borderId="9" fillId="0" fontId="8" numFmtId="0" xfId="0" applyAlignment="1" applyBorder="1" applyFont="1">
      <alignment horizontal="left" shrinkToFit="0" vertical="top" wrapText="1"/>
    </xf>
    <xf borderId="20" fillId="2" fontId="8" numFmtId="0" xfId="0" applyAlignment="1" applyBorder="1" applyFill="1" applyFont="1">
      <alignment horizontal="center" shrinkToFit="0" vertical="center" wrapText="1"/>
    </xf>
    <xf borderId="21" fillId="2" fontId="10" numFmtId="0" xfId="0" applyAlignment="1" applyBorder="1" applyFont="1">
      <alignment horizontal="center" shrinkToFit="0" vertical="center" wrapText="1"/>
    </xf>
    <xf borderId="21" fillId="2" fontId="11" numFmtId="0" xfId="0" applyAlignment="1" applyBorder="1" applyFont="1">
      <alignment horizontal="center" shrinkToFit="0" vertical="center" wrapText="1"/>
    </xf>
    <xf borderId="22" fillId="2" fontId="10" numFmtId="0" xfId="0" applyAlignment="1" applyBorder="1" applyFont="1">
      <alignment horizontal="center" shrinkToFit="0" vertical="center" wrapText="1"/>
    </xf>
    <xf borderId="23" fillId="0" fontId="2" numFmtId="0" xfId="0" applyBorder="1" applyFont="1"/>
    <xf borderId="22" fillId="2" fontId="8" numFmtId="0" xfId="0" applyAlignment="1" applyBorder="1" applyFont="1">
      <alignment horizontal="center" shrinkToFit="0" vertical="center" wrapText="1"/>
    </xf>
    <xf borderId="24" fillId="0" fontId="2" numFmtId="0" xfId="0" applyBorder="1" applyFont="1"/>
    <xf borderId="22" fillId="2" fontId="6" numFmtId="0" xfId="0" applyAlignment="1" applyBorder="1" applyFont="1">
      <alignment horizontal="center" shrinkToFit="0" vertical="center" wrapText="1"/>
    </xf>
    <xf borderId="25" fillId="0" fontId="2" numFmtId="0" xfId="0" applyBorder="1" applyFont="1"/>
    <xf borderId="26" fillId="0" fontId="2" numFmtId="0" xfId="0" applyBorder="1" applyFont="1"/>
    <xf borderId="13" fillId="0" fontId="2" numFmtId="0" xfId="0" applyBorder="1" applyFont="1"/>
    <xf borderId="12" fillId="0" fontId="2" numFmtId="0" xfId="0" applyBorder="1" applyFont="1"/>
    <xf borderId="27" fillId="0" fontId="12" numFmtId="0" xfId="0" applyAlignment="1" applyBorder="1" applyFont="1">
      <alignment horizontal="center" shrinkToFit="0" vertical="top" wrapText="1"/>
    </xf>
    <xf borderId="28" fillId="0" fontId="13" numFmtId="0" xfId="0" applyAlignment="1" applyBorder="1" applyFont="1">
      <alignment horizontal="left" shrinkToFit="0" vertical="top" wrapText="1"/>
    </xf>
    <xf borderId="28" fillId="0" fontId="14" numFmtId="164" xfId="0" applyAlignment="1" applyBorder="1" applyFont="1" applyNumberFormat="1">
      <alignment horizontal="center" shrinkToFit="0" vertical="top" wrapText="1"/>
    </xf>
    <xf borderId="28" fillId="0" fontId="12" numFmtId="0" xfId="0" applyAlignment="1" applyBorder="1" applyFont="1">
      <alignment horizontal="center" shrinkToFit="0" vertical="top" wrapText="1"/>
    </xf>
    <xf borderId="29" fillId="0" fontId="14" numFmtId="165" xfId="0" applyAlignment="1" applyBorder="1" applyFont="1" applyNumberFormat="1">
      <alignment horizontal="center" shrinkToFit="0" vertical="top" wrapText="1"/>
    </xf>
    <xf borderId="30" fillId="0" fontId="2" numFmtId="0" xfId="0" applyBorder="1" applyFont="1"/>
    <xf borderId="29" fillId="0" fontId="14" numFmtId="166" xfId="0" applyAlignment="1" applyBorder="1" applyFont="1" applyNumberFormat="1">
      <alignment horizontal="center" shrinkToFit="0" vertical="top" wrapText="1"/>
    </xf>
    <xf borderId="29" fillId="0" fontId="14" numFmtId="167" xfId="0" applyAlignment="1" applyBorder="1" applyFont="1" applyNumberFormat="1">
      <alignment horizontal="center" shrinkToFit="0" vertical="top" wrapText="1"/>
    </xf>
    <xf borderId="31" fillId="0" fontId="2" numFmtId="0" xfId="0" applyBorder="1" applyFont="1"/>
    <xf borderId="29" fillId="0" fontId="15" numFmtId="2" xfId="0" applyAlignment="1" applyBorder="1" applyFont="1" applyNumberFormat="1">
      <alignment horizontal="center" shrinkToFit="0" vertical="top" wrapText="1"/>
    </xf>
    <xf borderId="32" fillId="0" fontId="2" numFmtId="0" xfId="0" applyBorder="1" applyFont="1"/>
    <xf borderId="33" fillId="2" fontId="16" numFmtId="0" xfId="0" applyAlignment="1" applyBorder="1" applyFont="1">
      <alignment horizontal="right" shrinkToFit="0" vertical="top" wrapText="1"/>
    </xf>
    <xf borderId="29" fillId="0" fontId="17" numFmtId="166" xfId="0" applyAlignment="1" applyBorder="1" applyFont="1" applyNumberFormat="1">
      <alignment horizontal="center" shrinkToFit="0" vertical="top" wrapText="1"/>
    </xf>
    <xf borderId="29" fillId="2" fontId="17" numFmtId="167" xfId="0" applyAlignment="1" applyBorder="1" applyFont="1" applyNumberFormat="1">
      <alignment horizontal="center" shrinkToFit="0" vertical="top" wrapText="1"/>
    </xf>
    <xf borderId="34" fillId="0" fontId="8" numFmtId="0" xfId="0" applyAlignment="1" applyBorder="1" applyFont="1">
      <alignment horizontal="left" shrinkToFit="0" vertical="top" wrapText="1"/>
    </xf>
    <xf borderId="34" fillId="0" fontId="18" numFmtId="0" xfId="0" applyAlignment="1" applyBorder="1" applyFont="1">
      <alignment horizontal="center" shrinkToFit="0" vertical="top" wrapText="1"/>
    </xf>
    <xf borderId="35" fillId="2" fontId="16" numFmtId="0" xfId="0" applyAlignment="1" applyBorder="1" applyFont="1">
      <alignment horizontal="center" shrinkToFit="0" vertical="top" wrapText="1"/>
    </xf>
    <xf borderId="36" fillId="0" fontId="2" numFmtId="0" xfId="0" applyBorder="1" applyFont="1"/>
    <xf borderId="35" fillId="2" fontId="19" numFmtId="167" xfId="0" applyAlignment="1" applyBorder="1" applyFont="1" applyNumberFormat="1">
      <alignment horizontal="right" shrinkToFit="0" vertical="center" wrapText="1"/>
    </xf>
    <xf borderId="1" fillId="0" fontId="2" numFmtId="0" xfId="0" applyBorder="1" applyFont="1"/>
    <xf borderId="37" fillId="0" fontId="2" numFmtId="0" xfId="0" applyBorder="1" applyFont="1"/>
    <xf borderId="38" fillId="0" fontId="2" numFmtId="0" xfId="0" applyBorder="1" applyFont="1"/>
    <xf borderId="4" fillId="0" fontId="20" numFmtId="0" xfId="0" applyAlignment="1" applyBorder="1" applyFont="1">
      <alignment horizontal="left" shrinkToFit="0" vertical="top" wrapText="1"/>
    </xf>
    <xf borderId="4" fillId="0" fontId="21" numFmtId="167" xfId="0" applyAlignment="1" applyBorder="1" applyFont="1" applyNumberFormat="1">
      <alignment horizontal="right" shrinkToFit="0" vertical="top" wrapText="1"/>
    </xf>
    <xf borderId="39" fillId="0" fontId="2" numFmtId="0" xfId="0" applyBorder="1" applyFont="1"/>
    <xf borderId="4" fillId="0" fontId="21" numFmtId="168" xfId="0" applyAlignment="1" applyBorder="1" applyFont="1" applyNumberFormat="1">
      <alignment horizontal="right" shrinkToFit="0" vertical="top" wrapText="1"/>
    </xf>
    <xf borderId="40" fillId="2" fontId="22" numFmtId="0" xfId="0" applyAlignment="1" applyBorder="1" applyFont="1">
      <alignment horizontal="center" shrinkToFit="0" vertical="top" wrapText="1"/>
    </xf>
    <xf borderId="41" fillId="0" fontId="2" numFmtId="0" xfId="0" applyBorder="1" applyFont="1"/>
    <xf borderId="42" fillId="0" fontId="2" numFmtId="0" xfId="0" applyBorder="1" applyFont="1"/>
    <xf borderId="40" fillId="2" fontId="19" numFmtId="167" xfId="0" applyAlignment="1" applyBorder="1" applyFont="1" applyNumberFormat="1">
      <alignment horizontal="left" shrinkToFit="0" vertical="top" wrapText="1"/>
    </xf>
    <xf borderId="43" fillId="0" fontId="2" numFmtId="0" xfId="0" applyBorder="1" applyFont="1"/>
    <xf borderId="34" fillId="0" fontId="23" numFmtId="0" xfId="0" applyAlignment="1" applyBorder="1" applyFont="1">
      <alignment horizontal="left" shrinkToFit="0" vertical="top" wrapText="1"/>
    </xf>
    <xf borderId="44" fillId="0" fontId="2" numFmtId="0" xfId="0" applyBorder="1" applyFont="1"/>
    <xf borderId="4" fillId="2" fontId="6" numFmtId="0" xfId="0" applyAlignment="1" applyBorder="1" applyFont="1">
      <alignment horizontal="left" shrinkToFit="0" vertical="top" wrapText="1"/>
    </xf>
    <xf borderId="4" fillId="2" fontId="19" numFmtId="167" xfId="0" applyAlignment="1" applyBorder="1" applyFont="1" applyNumberFormat="1">
      <alignment horizontal="right" shrinkToFit="0" vertical="top" wrapText="1"/>
    </xf>
    <xf borderId="45" fillId="0" fontId="2" numFmtId="0" xfId="0" applyBorder="1" applyFont="1"/>
    <xf borderId="35" fillId="2" fontId="6" numFmtId="0" xfId="0" applyAlignment="1" applyBorder="1" applyFont="1">
      <alignment horizontal="left" shrinkToFit="0" vertical="top" wrapText="1"/>
    </xf>
    <xf borderId="46" fillId="2" fontId="19" numFmtId="167" xfId="0" applyAlignment="1" applyBorder="1" applyFont="1" applyNumberFormat="1">
      <alignment horizontal="right" shrinkToFit="0" vertical="top" wrapText="1"/>
    </xf>
    <xf borderId="47" fillId="0" fontId="2" numFmtId="0" xfId="0" applyBorder="1" applyFont="1"/>
    <xf borderId="48" fillId="0" fontId="2" numFmtId="0" xfId="0" applyBorder="1" applyFont="1"/>
    <xf borderId="35" fillId="0" fontId="24" numFmtId="0" xfId="0" applyAlignment="1" applyBorder="1" applyFont="1">
      <alignment horizontal="center" shrinkToFit="0" vertical="center" wrapText="1"/>
    </xf>
    <xf borderId="18" fillId="0" fontId="2" numFmtId="0" xfId="0" applyBorder="1" applyFont="1"/>
    <xf borderId="4" fillId="0" fontId="10" numFmtId="0" xfId="0" applyAlignment="1" applyBorder="1" applyFont="1">
      <alignment horizontal="left" shrinkToFit="0" vertical="top" wrapText="1"/>
    </xf>
    <xf borderId="4" fillId="0" fontId="18" numFmtId="0" xfId="0" applyAlignment="1" applyBorder="1" applyFont="1">
      <alignment horizontal="center" shrinkToFit="0" vertical="center" wrapText="1"/>
    </xf>
    <xf borderId="49" fillId="0" fontId="10" numFmtId="0" xfId="0" applyAlignment="1" applyBorder="1" applyFont="1">
      <alignment horizontal="right" shrinkToFit="0" vertical="top" wrapText="1"/>
    </xf>
    <xf borderId="50" fillId="0" fontId="2" numFmtId="0" xfId="0" applyBorder="1" applyFont="1"/>
    <xf borderId="5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Col="1"/>
  <cols>
    <col customWidth="1" min="1" max="1" width="4.44" outlineLevel="1"/>
    <col customWidth="1" min="2" max="2" width="12.0" outlineLevel="1"/>
    <col customWidth="1" min="3" max="3" width="5.89" outlineLevel="1"/>
    <col customWidth="1" min="4" max="4" width="2.89" outlineLevel="1"/>
    <col customWidth="1" min="5" max="5" width="4.44" outlineLevel="1"/>
    <col customWidth="1" min="6" max="6" width="4.0" outlineLevel="1"/>
    <col customWidth="1" min="7" max="7" width="5.22" outlineLevel="1"/>
    <col customWidth="1" min="8" max="9" width="1.56"/>
    <col customWidth="1" min="10" max="10" width="1.44"/>
    <col customWidth="1" min="11" max="11" width="1.89"/>
    <col customWidth="1" min="12" max="12" width="1.67"/>
    <col customWidth="1" min="13" max="14" width="1.22"/>
    <col customWidth="1" hidden="1" min="15" max="15" width="1.0"/>
    <col customWidth="1" hidden="1" min="16" max="16" width="0.11"/>
    <col customWidth="1" min="17" max="17" width="10.78"/>
    <col customWidth="1" min="18" max="18" width="7.56"/>
    <col customWidth="1" min="19" max="19" width="4.0"/>
    <col customWidth="1" min="20" max="20" width="9.56"/>
  </cols>
  <sheetData>
    <row r="1" ht="7.5" hidden="1" customHeight="1">
      <c r="A1" s="1"/>
      <c r="T1" s="2"/>
    </row>
    <row r="2" ht="149.25" customHeight="1">
      <c r="A2" s="3" t="s">
        <v>0</v>
      </c>
      <c r="B2" s="4"/>
      <c r="C2" s="4"/>
      <c r="D2" s="4"/>
      <c r="E2" s="4"/>
      <c r="F2" s="4"/>
      <c r="G2" s="4"/>
      <c r="H2" s="4"/>
      <c r="I2" s="4"/>
      <c r="J2" s="4"/>
      <c r="K2" s="4"/>
      <c r="L2" s="4"/>
      <c r="M2" s="4"/>
      <c r="N2" s="4"/>
      <c r="O2" s="4"/>
      <c r="P2" s="4"/>
      <c r="Q2" s="4"/>
      <c r="R2" s="4"/>
      <c r="S2" s="4"/>
      <c r="T2" s="4"/>
    </row>
    <row r="3" ht="16.5" customHeight="1">
      <c r="A3" s="5" t="s">
        <v>1</v>
      </c>
      <c r="B3" s="6"/>
      <c r="C3" s="6"/>
      <c r="D3" s="6"/>
      <c r="E3" s="6"/>
      <c r="F3" s="6"/>
      <c r="G3" s="6"/>
      <c r="H3" s="6"/>
      <c r="I3" s="6"/>
      <c r="J3" s="6"/>
      <c r="K3" s="6"/>
      <c r="L3" s="6"/>
      <c r="M3" s="6"/>
      <c r="N3" s="6"/>
      <c r="O3" s="6"/>
      <c r="P3" s="6"/>
      <c r="Q3" s="6"/>
      <c r="R3" s="6"/>
      <c r="S3" s="6"/>
      <c r="T3" s="7"/>
    </row>
    <row r="4" ht="54.75" customHeight="1">
      <c r="A4" s="8" t="s">
        <v>2</v>
      </c>
      <c r="B4" s="6"/>
      <c r="C4" s="6"/>
      <c r="D4" s="6"/>
      <c r="E4" s="6"/>
      <c r="F4" s="6"/>
      <c r="G4" s="6"/>
      <c r="H4" s="6"/>
      <c r="I4" s="6"/>
      <c r="J4" s="6"/>
      <c r="K4" s="6"/>
      <c r="L4" s="7"/>
      <c r="M4" s="9" t="s">
        <v>3</v>
      </c>
      <c r="N4" s="10"/>
      <c r="O4" s="10"/>
      <c r="P4" s="10"/>
      <c r="Q4" s="10"/>
      <c r="R4" s="10"/>
      <c r="S4" s="10"/>
      <c r="T4" s="11"/>
    </row>
    <row r="5" ht="12.75" customHeight="1">
      <c r="A5" s="12" t="s">
        <v>4</v>
      </c>
      <c r="B5" s="13"/>
      <c r="C5" s="13"/>
      <c r="D5" s="13"/>
      <c r="E5" s="14"/>
      <c r="F5" s="15" t="s">
        <v>5</v>
      </c>
      <c r="G5" s="13"/>
      <c r="H5" s="13"/>
      <c r="I5" s="14"/>
      <c r="J5" s="15" t="s">
        <v>6</v>
      </c>
      <c r="K5" s="14"/>
      <c r="L5" s="16"/>
      <c r="M5" s="13"/>
      <c r="N5" s="13"/>
      <c r="O5" s="13"/>
      <c r="P5" s="13"/>
      <c r="Q5" s="13"/>
      <c r="R5" s="13"/>
      <c r="S5" s="13"/>
      <c r="T5" s="17"/>
    </row>
    <row r="6" ht="15.0" customHeight="1">
      <c r="A6" s="18"/>
      <c r="B6" s="19"/>
      <c r="C6" s="19"/>
      <c r="D6" s="19"/>
      <c r="E6" s="19"/>
      <c r="F6" s="19"/>
      <c r="G6" s="19"/>
      <c r="H6" s="19"/>
      <c r="I6" s="19"/>
      <c r="J6" s="19"/>
      <c r="K6" s="19"/>
      <c r="L6" s="19"/>
      <c r="M6" s="19"/>
      <c r="N6" s="19"/>
      <c r="O6" s="19"/>
      <c r="P6" s="19"/>
      <c r="Q6" s="19"/>
      <c r="R6" s="19"/>
      <c r="S6" s="19"/>
      <c r="T6" s="20"/>
    </row>
    <row r="7" ht="51.75" customHeight="1">
      <c r="A7" s="21" t="s">
        <v>7</v>
      </c>
      <c r="B7" s="6"/>
      <c r="C7" s="6"/>
      <c r="D7" s="6"/>
      <c r="E7" s="6"/>
      <c r="F7" s="6"/>
      <c r="G7" s="6"/>
      <c r="H7" s="6"/>
      <c r="I7" s="6"/>
      <c r="J7" s="6"/>
      <c r="K7" s="6"/>
      <c r="L7" s="6"/>
      <c r="M7" s="6"/>
      <c r="N7" s="6"/>
      <c r="O7" s="6"/>
      <c r="P7" s="6"/>
      <c r="Q7" s="6"/>
      <c r="R7" s="6"/>
      <c r="S7" s="6"/>
      <c r="T7" s="7"/>
    </row>
    <row r="8" ht="15.0" customHeight="1">
      <c r="A8" s="22" t="s">
        <v>4</v>
      </c>
      <c r="B8" s="4"/>
      <c r="C8" s="4"/>
      <c r="D8" s="4"/>
      <c r="E8" s="23"/>
      <c r="F8" s="24" t="s">
        <v>8</v>
      </c>
      <c r="G8" s="13"/>
      <c r="H8" s="13"/>
      <c r="I8" s="14"/>
      <c r="J8" s="15" t="s">
        <v>6</v>
      </c>
      <c r="K8" s="13"/>
      <c r="L8" s="25"/>
      <c r="M8" s="6"/>
      <c r="N8" s="6"/>
      <c r="O8" s="6"/>
      <c r="P8" s="6"/>
      <c r="Q8" s="6"/>
      <c r="R8" s="6"/>
      <c r="S8" s="6"/>
      <c r="T8" s="7"/>
    </row>
    <row r="9">
      <c r="A9" s="26"/>
      <c r="B9" s="13"/>
      <c r="C9" s="13"/>
      <c r="D9" s="13"/>
      <c r="E9" s="13"/>
      <c r="F9" s="13"/>
      <c r="G9" s="13"/>
      <c r="H9" s="13"/>
      <c r="I9" s="13"/>
      <c r="J9" s="13"/>
      <c r="K9" s="13"/>
      <c r="L9" s="13"/>
      <c r="M9" s="13"/>
      <c r="N9" s="13"/>
      <c r="O9" s="13"/>
      <c r="P9" s="13"/>
      <c r="Q9" s="13"/>
      <c r="R9" s="13"/>
      <c r="S9" s="13"/>
      <c r="T9" s="17"/>
    </row>
    <row r="10" ht="15.0" customHeight="1">
      <c r="A10" s="27" t="s">
        <v>9</v>
      </c>
      <c r="B10" s="28" t="s">
        <v>10</v>
      </c>
      <c r="C10" s="29" t="s">
        <v>11</v>
      </c>
      <c r="D10" s="28" t="s">
        <v>12</v>
      </c>
      <c r="E10" s="30" t="s">
        <v>13</v>
      </c>
      <c r="F10" s="31"/>
      <c r="G10" s="30" t="s">
        <v>14</v>
      </c>
      <c r="H10" s="31"/>
      <c r="I10" s="32" t="s">
        <v>15</v>
      </c>
      <c r="J10" s="33"/>
      <c r="K10" s="33"/>
      <c r="L10" s="33"/>
      <c r="M10" s="33"/>
      <c r="N10" s="33"/>
      <c r="O10" s="33"/>
      <c r="P10" s="31"/>
      <c r="Q10" s="34" t="s">
        <v>16</v>
      </c>
      <c r="R10" s="33"/>
      <c r="S10" s="33"/>
      <c r="T10" s="35"/>
    </row>
    <row r="11" ht="36.0" customHeight="1">
      <c r="A11" s="36"/>
      <c r="B11" s="37"/>
      <c r="C11" s="37"/>
      <c r="D11" s="37"/>
      <c r="E11" s="38"/>
      <c r="F11" s="14"/>
      <c r="G11" s="38"/>
      <c r="H11" s="14"/>
      <c r="I11" s="38"/>
      <c r="J11" s="13"/>
      <c r="K11" s="13"/>
      <c r="L11" s="13"/>
      <c r="M11" s="13"/>
      <c r="N11" s="13"/>
      <c r="O11" s="13"/>
      <c r="P11" s="14"/>
      <c r="Q11" s="38"/>
      <c r="R11" s="13"/>
      <c r="S11" s="13"/>
      <c r="T11" s="17"/>
    </row>
    <row r="12" ht="66.0" customHeight="1">
      <c r="A12" s="39">
        <v>1.0</v>
      </c>
      <c r="B12" s="40" t="s">
        <v>17</v>
      </c>
      <c r="C12" s="41">
        <v>9967.0</v>
      </c>
      <c r="D12" s="42" t="s">
        <v>18</v>
      </c>
      <c r="E12" s="43">
        <v>677.7</v>
      </c>
      <c r="F12" s="44"/>
      <c r="G12" s="45">
        <v>218.0</v>
      </c>
      <c r="H12" s="44"/>
      <c r="I12" s="46" t="str">
        <f t="shared" ref="I12:I13" si="1">E12*G12</f>
        <v>147,739</v>
      </c>
      <c r="J12" s="47"/>
      <c r="K12" s="47"/>
      <c r="L12" s="47"/>
      <c r="M12" s="47"/>
      <c r="N12" s="47"/>
      <c r="O12" s="47"/>
      <c r="P12" s="44"/>
      <c r="Q12" s="48" t="str">
        <f>E12*G12</f>
        <v>147738.60</v>
      </c>
      <c r="R12" s="47"/>
      <c r="S12" s="47"/>
      <c r="T12" s="49"/>
    </row>
    <row r="13" ht="15.0" customHeight="1">
      <c r="A13" s="50" t="s">
        <v>19</v>
      </c>
      <c r="B13" s="47"/>
      <c r="C13" s="47"/>
      <c r="D13" s="44"/>
      <c r="E13" s="43">
        <v>677.7</v>
      </c>
      <c r="F13" s="44"/>
      <c r="G13" s="51">
        <v>218.0</v>
      </c>
      <c r="H13" s="44"/>
      <c r="I13" s="52" t="str">
        <f t="shared" si="1"/>
        <v>147,739</v>
      </c>
      <c r="J13" s="47"/>
      <c r="K13" s="47"/>
      <c r="L13" s="47"/>
      <c r="M13" s="47"/>
      <c r="N13" s="47"/>
      <c r="O13" s="47"/>
      <c r="P13" s="44"/>
      <c r="Q13" s="52" t="str">
        <f>Q12</f>
        <v>147,739</v>
      </c>
      <c r="R13" s="47"/>
      <c r="S13" s="47"/>
      <c r="T13" s="49"/>
    </row>
    <row r="14" ht="11.25" customHeight="1">
      <c r="A14" s="53"/>
      <c r="B14" s="33"/>
      <c r="C14" s="33"/>
      <c r="D14" s="33"/>
      <c r="E14" s="33"/>
      <c r="F14" s="33"/>
      <c r="G14" s="33"/>
      <c r="H14" s="33"/>
      <c r="I14" s="33"/>
      <c r="J14" s="33"/>
      <c r="K14" s="33"/>
      <c r="L14" s="33"/>
      <c r="M14" s="33"/>
      <c r="N14" s="33"/>
      <c r="O14" s="33"/>
      <c r="P14" s="33"/>
      <c r="Q14" s="33"/>
      <c r="R14" s="33"/>
      <c r="S14" s="33"/>
      <c r="T14" s="35"/>
    </row>
    <row r="15" ht="15.0" customHeight="1">
      <c r="A15" s="54" t="s">
        <v>20</v>
      </c>
      <c r="B15" s="33"/>
      <c r="C15" s="33"/>
      <c r="D15" s="33"/>
      <c r="E15" s="33"/>
      <c r="F15" s="33"/>
      <c r="G15" s="33"/>
      <c r="H15" s="33"/>
      <c r="I15" s="33"/>
      <c r="J15" s="33"/>
      <c r="K15" s="33"/>
      <c r="L15" s="33"/>
      <c r="M15" s="33"/>
      <c r="N15" s="55" t="s">
        <v>21</v>
      </c>
      <c r="O15" s="10"/>
      <c r="P15" s="10"/>
      <c r="Q15" s="56"/>
      <c r="R15" s="57" t="str">
        <f>Q13</f>
        <v>147,739</v>
      </c>
      <c r="S15" s="10"/>
      <c r="T15" s="11"/>
    </row>
    <row r="16" ht="12.75" customHeight="1">
      <c r="A16" s="58"/>
      <c r="N16" s="59"/>
      <c r="O16" s="4"/>
      <c r="P16" s="4"/>
      <c r="Q16" s="23"/>
      <c r="R16" s="59"/>
      <c r="S16" s="4"/>
      <c r="T16" s="60"/>
    </row>
    <row r="17" ht="15.0" customHeight="1">
      <c r="A17" s="58"/>
      <c r="N17" s="61" t="s">
        <v>22</v>
      </c>
      <c r="O17" s="6"/>
      <c r="P17" s="6"/>
      <c r="Q17" s="7"/>
      <c r="R17" s="62" t="str">
        <f>R15*0.025</f>
        <v>3,693</v>
      </c>
      <c r="S17" s="6"/>
      <c r="T17" s="63"/>
    </row>
    <row r="18" ht="15.0" customHeight="1">
      <c r="A18" s="58"/>
      <c r="N18" s="61" t="s">
        <v>23</v>
      </c>
      <c r="O18" s="6"/>
      <c r="P18" s="6"/>
      <c r="Q18" s="7"/>
      <c r="R18" s="62" t="str">
        <f>R15*0.025</f>
        <v>3,693</v>
      </c>
      <c r="S18" s="6"/>
      <c r="T18" s="63"/>
    </row>
    <row r="19" ht="15.0" customHeight="1">
      <c r="A19" s="58"/>
      <c r="N19" s="61" t="s">
        <v>24</v>
      </c>
      <c r="O19" s="6"/>
      <c r="P19" s="6"/>
      <c r="Q19" s="7"/>
      <c r="R19" s="64">
        <v>0.0</v>
      </c>
      <c r="S19" s="6"/>
      <c r="T19" s="63"/>
    </row>
    <row r="20" ht="11.25" customHeight="1">
      <c r="A20" s="58"/>
      <c r="N20" s="65"/>
      <c r="O20" s="66"/>
      <c r="P20" s="66"/>
      <c r="Q20" s="67"/>
      <c r="R20" s="68"/>
      <c r="S20" s="66"/>
      <c r="T20" s="69"/>
    </row>
    <row r="21" ht="28.5" customHeight="1">
      <c r="A21" s="70" t="s">
        <v>25</v>
      </c>
      <c r="B21" s="33"/>
      <c r="C21" s="33"/>
      <c r="D21" s="33"/>
      <c r="E21" s="33"/>
      <c r="F21" s="33"/>
      <c r="G21" s="71"/>
      <c r="H21" s="72" t="s">
        <v>26</v>
      </c>
      <c r="I21" s="6"/>
      <c r="J21" s="6"/>
      <c r="K21" s="6"/>
      <c r="L21" s="6"/>
      <c r="M21" s="6"/>
      <c r="N21" s="6"/>
      <c r="O21" s="6"/>
      <c r="P21" s="6"/>
      <c r="Q21" s="7"/>
      <c r="R21" s="73" t="str">
        <f>R15+R17+R18+R19</f>
        <v>155,126</v>
      </c>
      <c r="S21" s="6"/>
      <c r="T21" s="7"/>
    </row>
    <row r="22" ht="15.0" customHeight="1">
      <c r="A22" s="58"/>
      <c r="G22" s="74"/>
      <c r="H22" s="75" t="s">
        <v>27</v>
      </c>
      <c r="I22" s="10"/>
      <c r="J22" s="10"/>
      <c r="K22" s="10"/>
      <c r="L22" s="10"/>
      <c r="M22" s="10"/>
      <c r="N22" s="10"/>
      <c r="O22" s="10"/>
      <c r="P22" s="10"/>
      <c r="Q22" s="56"/>
      <c r="R22" s="76" t="str">
        <f>R15</f>
        <v>147,739</v>
      </c>
      <c r="S22" s="77"/>
      <c r="T22" s="78"/>
    </row>
    <row r="23" ht="12.0" customHeight="1">
      <c r="A23" s="58"/>
      <c r="G23" s="74"/>
      <c r="H23" s="59"/>
      <c r="I23" s="4"/>
      <c r="J23" s="4"/>
      <c r="K23" s="4"/>
      <c r="L23" s="4"/>
      <c r="M23" s="4"/>
      <c r="N23" s="4"/>
      <c r="O23" s="4"/>
      <c r="P23" s="4"/>
      <c r="Q23" s="23"/>
      <c r="R23" s="59"/>
      <c r="S23" s="4"/>
      <c r="T23" s="60"/>
    </row>
    <row r="24" ht="8.25" customHeight="1">
      <c r="A24" s="58"/>
      <c r="G24" s="74"/>
      <c r="H24" s="79"/>
      <c r="I24" s="10"/>
      <c r="J24" s="10"/>
      <c r="K24" s="10"/>
      <c r="L24" s="10"/>
      <c r="M24" s="10"/>
      <c r="N24" s="10"/>
      <c r="O24" s="10"/>
      <c r="P24" s="10"/>
      <c r="Q24" s="10"/>
      <c r="R24" s="10"/>
      <c r="S24" s="10"/>
      <c r="T24" s="56"/>
    </row>
    <row r="25" ht="10.5" customHeight="1">
      <c r="A25" s="80"/>
      <c r="B25" s="4"/>
      <c r="C25" s="4"/>
      <c r="D25" s="4"/>
      <c r="E25" s="4"/>
      <c r="F25" s="4"/>
      <c r="G25" s="23"/>
      <c r="H25" s="59"/>
      <c r="I25" s="4"/>
      <c r="J25" s="4"/>
      <c r="K25" s="4"/>
      <c r="L25" s="4"/>
      <c r="M25" s="4"/>
      <c r="N25" s="4"/>
      <c r="O25" s="4"/>
      <c r="P25" s="4"/>
      <c r="Q25" s="4"/>
      <c r="R25" s="4"/>
      <c r="S25" s="4"/>
      <c r="T25" s="23"/>
    </row>
    <row r="26" ht="159.75" customHeight="1">
      <c r="A26" s="81" t="s">
        <v>28</v>
      </c>
      <c r="B26" s="6"/>
      <c r="C26" s="6"/>
      <c r="D26" s="6"/>
      <c r="E26" s="6"/>
      <c r="F26" s="6"/>
      <c r="G26" s="6"/>
      <c r="H26" s="6"/>
      <c r="I26" s="6"/>
      <c r="J26" s="6"/>
      <c r="K26" s="6"/>
      <c r="L26" s="6"/>
      <c r="M26" s="6"/>
      <c r="N26" s="7"/>
      <c r="O26" s="82" t="s">
        <v>29</v>
      </c>
      <c r="P26" s="6"/>
      <c r="Q26" s="6"/>
      <c r="R26" s="6"/>
      <c r="S26" s="6"/>
      <c r="T26" s="7"/>
    </row>
    <row r="27" customHeight="1">
      <c r="A27" s="83"/>
      <c r="B27" s="84"/>
      <c r="C27" s="84"/>
      <c r="D27" s="84"/>
      <c r="E27" s="84"/>
      <c r="F27" s="84"/>
      <c r="G27" s="84"/>
      <c r="H27" s="84"/>
      <c r="I27" s="84"/>
      <c r="J27" s="84"/>
      <c r="K27" s="84"/>
      <c r="L27" s="84"/>
      <c r="M27" s="84"/>
      <c r="N27" s="84"/>
      <c r="O27" s="84"/>
      <c r="P27" s="84"/>
      <c r="Q27" s="84"/>
      <c r="R27" s="84"/>
      <c r="S27" s="84"/>
      <c r="T27" s="8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53">
    <mergeCell ref="C10:C11"/>
    <mergeCell ref="D10:D11"/>
    <mergeCell ref="A8:E8"/>
    <mergeCell ref="E10:F11"/>
    <mergeCell ref="G10:H11"/>
    <mergeCell ref="F8:I8"/>
    <mergeCell ref="J8:K8"/>
    <mergeCell ref="I10:P11"/>
    <mergeCell ref="Q10:T11"/>
    <mergeCell ref="E12:F12"/>
    <mergeCell ref="G12:H12"/>
    <mergeCell ref="I12:P12"/>
    <mergeCell ref="Q12:T12"/>
    <mergeCell ref="A9:T9"/>
    <mergeCell ref="A10:A11"/>
    <mergeCell ref="B10:B11"/>
    <mergeCell ref="L8:T8"/>
    <mergeCell ref="A5:E5"/>
    <mergeCell ref="F5:I5"/>
    <mergeCell ref="A6:T6"/>
    <mergeCell ref="A7:T7"/>
    <mergeCell ref="A1:T1"/>
    <mergeCell ref="A2:T2"/>
    <mergeCell ref="A3:T3"/>
    <mergeCell ref="A4:L4"/>
    <mergeCell ref="M4:T5"/>
    <mergeCell ref="J5:K5"/>
    <mergeCell ref="H21:Q21"/>
    <mergeCell ref="H22:Q23"/>
    <mergeCell ref="O26:T26"/>
    <mergeCell ref="H24:T25"/>
    <mergeCell ref="N20:Q20"/>
    <mergeCell ref="A15:M20"/>
    <mergeCell ref="N15:Q16"/>
    <mergeCell ref="N17:Q17"/>
    <mergeCell ref="N18:Q18"/>
    <mergeCell ref="N19:Q19"/>
    <mergeCell ref="R15:T16"/>
    <mergeCell ref="R17:T17"/>
    <mergeCell ref="R18:T18"/>
    <mergeCell ref="R19:T19"/>
    <mergeCell ref="A13:D13"/>
    <mergeCell ref="E13:F13"/>
    <mergeCell ref="G13:H13"/>
    <mergeCell ref="I13:P13"/>
    <mergeCell ref="Q13:T13"/>
    <mergeCell ref="A26:N26"/>
    <mergeCell ref="A27:T27"/>
    <mergeCell ref="R20:T20"/>
    <mergeCell ref="A21:G25"/>
    <mergeCell ref="R21:T21"/>
    <mergeCell ref="R22:T23"/>
    <mergeCell ref="A14:T14"/>
  </mergeCells>
  <hyperlinks>
    <hyperlink r:id="rId1" ref="N17"/>
    <hyperlink r:id="rId2" ref="N18"/>
    <hyperlink r:id="rId3" ref="N19"/>
  </hyperlinks>
  <printOptions/>
  <pageMargins bottom="0.748031496062992" footer="0.0" header="0.0" left="0.236220472440945" right="0.236220472440945" top="0.83"/>
  <pageSetup scale="90" orientation="portrait"/>
  <drawing r:id="rId4"/>
</worksheet>
</file>

<file path=docProps/app.xml><?xml version="1.0" encoding="utf-8"?>
<Properties xmlns="http://schemas.openxmlformats.org/officeDocument/2006/extended-properties" xmlns:vt="http://schemas.openxmlformats.org/officeDocument/2006/docPropsVTypes">
  <Company>Grizli777</Company>
  <ScaleCrop>false</ScaleCrop>
  <HeadingPairs>
    <vt:vector baseType="variant" size="2">
      <vt:variant>
        <vt:lpstr>Worksheets</vt:lpstr>
      </vt:variant>
      <vt:variant>
        <vt:i4>1</vt:i4>
      </vt:variant>
    </vt:vector>
  </HeadingPairs>
  <TitlesOfParts>
    <vt:vector baseType="lpstr" size="1">
      <vt:lpstr>RCM</vt:lpstr>
    </vt:vector>
  </TitlesOfParts>
  <LinksUpToDate>false</LinksUpToDate>
  <SharedDoc>false</SharedDoc>
  <HyperlinksChanged>false</HyperlinksChanged>
  <Application>Microsoft Excel</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2022-03-16T09:57:55Z</dcterms:created>
  <dc:creator>Intel</dc:creator>
  <cp:lastModifiedBy>Sony</cp:lastModifiedBy>
  <cp:lastPrinted>2025-08-20T08:28:15Z</cp:lastPrinted>
  <dcterms:modified xsi:type="dcterms:W3CDTF">2025-10-06T04:13:05Z</dcterms:modified>
</cp:coreProperties>
</file>